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de Bien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<sst xmlns="http://schemas.openxmlformats.org/spreadsheetml/2006/main" count="32" uniqueCount="32">
  <si>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🏭  Registro de Bienes y Amortizaciones</t>
  </si>
  <si>
    <t xml:space="preserve">Según art. 12 LIS / art. 30 RIRPF | Amortización lineal | Tablas oficiales AEAT</t>
  </si>
  <si>
    <t xml:space="preserve">Empresa:</t>
  </si>
  <si>
    <t xml:space="preserve">Ejercicio:</t>
  </si>
  <si>
    <t xml:space="preserve">Elaborado por:</t>
  </si>
  <si>
    <t xml:space="preserve">Nº</t>
  </si>
  <si>
    <t xml:space="preserve">Descripción del bien</t>
  </si>
  <si>
    <t xml:space="preserve">Fecha adquis.</t>
  </si>
  <si>
    <t xml:space="preserve">Precio adquis. (€)</t>
  </si>
  <si>
    <t xml:space="preserve">Vida útil (a)</t>
  </si>
  <si>
    <t xml:space="preserve">Coef. (%)</t>
  </si>
  <si>
    <t xml:space="preserve">Amort. anual (€)</t>
  </si>
  <si>
    <t xml:space="preserve">Amort. acum. (€)</t>
  </si>
  <si>
    <t xml:space="preserve">V.N. 01/01</t>
  </si>
  <si>
    <t xml:space="preserve">V.N. 31/12</t>
  </si>
  <si>
    <t xml:space="preserve">001</t>
  </si>
  <si>
    <t xml:space="preserve">Vehículo de empresa</t>
  </si>
  <si>
    <t xml:space="preserve">01/01/2023</t>
  </si>
  <si>
    <t xml:space="preserve">002</t>
  </si>
  <si>
    <t xml:space="preserve">Ordenador / Portátil</t>
  </si>
  <si>
    <t xml:space="preserve">15/03/2024</t>
  </si>
  <si>
    <t xml:space="preserve">003</t>
  </si>
  <si>
    <t xml:space="preserve">Mobiliario oficina</t>
  </si>
  <si>
    <t xml:space="preserve">01/07/2023</t>
  </si>
  <si>
    <t xml:space="preserve">004</t>
  </si>
  <si>
    <t xml:space="preserve">Maquinaria / Equipo</t>
  </si>
  <si>
    <t xml:space="preserve">01/01/2024</t>
  </si>
  <si>
    <t xml:space="preserve">005</t>
  </si>
  <si>
    <t xml:space="preserve">Herramienta (PEP)</t>
  </si>
  <si>
    <t xml:space="preserve">01/01/2025</t>
  </si>
  <si>
    <t xml:space="preserve">AMORTIZACIÓN TOTAL (ejercicio actual)</t>
  </si>
  <si>
    <t xml:space="preserve">⚖️  La amortización fiscal se realiza según las tablas oficiales de la AEAT (art. 12 LIS / art. 30 RIRPF). Los elementos de escaso valor (PEP) hasta 300 € pueden amortizarse libremente (límite 25.000 €/año en ERD). Conservar 4 años (art. 66 LGT). No sustituye al asesoramiento fiscal profesional.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</si>
</sst>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"/>
    <numFmt numFmtId="166" formatCode="0&quot; años&quot;"/>
    <numFmt numFmtId="167" formatCode="0.00\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b val="true"/>
      <sz val="9"/>
      <color rgb="FF0F1923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0F1923"/>
      <name val="Calibri"/>
      <family val="0"/>
      <charset val="1"/>
    </font>
    <font>
      <b val="true"/>
      <sz val="10"/>
      <color rgb="FF0A7A5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8"/>
      <color rgb="FF64748B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EA472"/>
        <bgColor rgb="FF008080"/>
      </patternFill>
    </fill>
    <fill>
      <patternFill patternType="solid">
        <fgColor rgb="FFF0FDF8"/>
        <bgColor rgb="FFF1F5F9"/>
      </patternFill>
    </fill>
    <fill>
      <patternFill patternType="solid">
        <fgColor rgb="FFFFFDE7"/>
        <bgColor rgb="FFFFF5F5"/>
      </patternFill>
    </fill>
    <fill>
      <patternFill patternType="solid">
        <fgColor rgb="FFF1F5F9"/>
        <bgColor rgb="FFF0FDF8"/>
      </patternFill>
    </fill>
    <fill>
      <patternFill patternType="solid">
        <fgColor rgb="FFFFF5F5"/>
        <bgColor rgb="FFFFFDE7"/>
      </patternFill>
    </fill>
    <fill>
      <patternFill patternType="solid">
        <fgColor rgb="FFD1FAE5"/>
        <bgColor rgb="FFF0FDF8"/>
      </patternFill>
    </fill>
    <fill>
      <patternFill patternType="solid">
        <fgColor rgb="FFFFFFFF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FAE5"/>
      </left>
      <right style="thin">
        <color rgb="FFD1FAE5"/>
      </right>
      <top style="thin">
        <color rgb="FFD1FAE5"/>
      </top>
      <bottom style="thin">
        <color rgb="FFD1FAE5"/>
      </bottom>
      <diagonal/>
    </border>
    <border diagonalUp="false" diagonalDown="false">
      <left style="thin">
        <color rgb="FF0A7A55"/>
      </left>
      <right style="thin">
        <color rgb="FF0A7A55"/>
      </right>
      <top style="thin">
        <color rgb="FF0A7A55"/>
      </top>
      <bottom style="thin">
        <color rgb="FF0A7A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7A55"/>
      <rgbColor rgb="FFC0C0C0"/>
      <rgbColor rgb="FF808080"/>
      <rgbColor rgb="FF9999FF"/>
      <rgbColor rgb="FF993366"/>
      <rgbColor rgb="FFFFFDE7"/>
      <rgbColor rgb="FFF0FD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FAE5"/>
      <rgbColor rgb="FFFFF5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0EA472"/>
      <rgbColor rgb="FF0F1923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10" min="7" style="0" width="14"/>
    <col collapsed="false" customWidth="true" hidden="false" outlineLevel="0" max="11" min="11" style="0" width="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21.75" hidden="false" customHeight="true" outlineLevel="0" collapsed="false">
      <c r="B4" s="3" t="s">
        <v>2</v>
      </c>
      <c r="C4" s="4"/>
      <c r="E4" s="3" t="s">
        <v>3</v>
      </c>
      <c r="F4" s="4"/>
      <c r="G4" s="3" t="s">
        <v>4</v>
      </c>
      <c r="H4" s="4"/>
    </row>
    <row r="5" customFormat="false" ht="7.5" hidden="false" customHeight="true" outlineLevel="0" collapsed="false"/>
    <row r="6" customFormat="false" ht="30" hidden="false" customHeight="true" outlineLevel="0" collapsed="false"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</row>
    <row r="7" customFormat="false" ht="21.75" hidden="false" customHeight="true" outlineLevel="0" collapsed="false">
      <c r="B7" s="6" t="s">
        <v>15</v>
      </c>
      <c r="C7" s="7" t="s">
        <v>16</v>
      </c>
      <c r="D7" s="6" t="s">
        <v>17</v>
      </c>
      <c r="E7" s="8" t="n">
        <v>18000</v>
      </c>
      <c r="F7" s="9" t="n">
        <v>6</v>
      </c>
      <c r="G7" s="10" t="n">
        <f aca="false">IFERROR(1/F7*100,0)</f>
        <v>16.6666666666667</v>
      </c>
      <c r="H7" s="11" t="n">
        <f aca="false">IFERROR(E7/F7,0)</f>
        <v>3000</v>
      </c>
      <c r="I7" s="12" t="n">
        <f aca="true">IFERROR(H7*(YEAR(TODAY())-YEAR(DATEVALUE(D7))),E7)</f>
        <v>9000</v>
      </c>
      <c r="J7" s="13" t="n">
        <f aca="false">IFERROR(E7-I7,0)</f>
        <v>9000</v>
      </c>
    </row>
    <row r="8" customFormat="false" ht="21.75" hidden="false" customHeight="true" outlineLevel="0" collapsed="false">
      <c r="B8" s="14" t="s">
        <v>18</v>
      </c>
      <c r="C8" s="15" t="s">
        <v>19</v>
      </c>
      <c r="D8" s="14" t="s">
        <v>20</v>
      </c>
      <c r="E8" s="16" t="n">
        <v>1200</v>
      </c>
      <c r="F8" s="17" t="n">
        <v>4</v>
      </c>
      <c r="G8" s="18" t="n">
        <f aca="false">IFERROR(1/F8*100,0)</f>
        <v>25</v>
      </c>
      <c r="H8" s="19" t="n">
        <f aca="false">IFERROR(E8/F8,0)</f>
        <v>300</v>
      </c>
      <c r="I8" s="12" t="n">
        <f aca="true">IFERROR(H8*(YEAR(TODAY())-YEAR(DATEVALUE(D8))),E8)</f>
        <v>1200</v>
      </c>
      <c r="J8" s="13" t="n">
        <f aca="false">IFERROR(E8-I8,0)</f>
        <v>0</v>
      </c>
    </row>
    <row r="9" customFormat="false" ht="21.75" hidden="false" customHeight="true" outlineLevel="0" collapsed="false">
      <c r="B9" s="6" t="s">
        <v>21</v>
      </c>
      <c r="C9" s="7" t="s">
        <v>22</v>
      </c>
      <c r="D9" s="6" t="s">
        <v>23</v>
      </c>
      <c r="E9" s="8" t="n">
        <v>2800</v>
      </c>
      <c r="F9" s="9" t="n">
        <v>10</v>
      </c>
      <c r="G9" s="10" t="n">
        <f aca="false">IFERROR(1/F9*100,0)</f>
        <v>10</v>
      </c>
      <c r="H9" s="11" t="n">
        <f aca="false">IFERROR(E9/F9,0)</f>
        <v>280</v>
      </c>
      <c r="I9" s="12" t="n">
        <f aca="true">IFERROR(H9*(YEAR(TODAY())-YEAR(DATEVALUE(D9))),E9)</f>
        <v>840</v>
      </c>
      <c r="J9" s="13" t="n">
        <f aca="false">IFERROR(E9-I9,0)</f>
        <v>1960</v>
      </c>
    </row>
    <row r="10" customFormat="false" ht="21.75" hidden="false" customHeight="true" outlineLevel="0" collapsed="false">
      <c r="B10" s="14" t="s">
        <v>24</v>
      </c>
      <c r="C10" s="15" t="s">
        <v>25</v>
      </c>
      <c r="D10" s="14" t="s">
        <v>26</v>
      </c>
      <c r="E10" s="16" t="n">
        <v>12000</v>
      </c>
      <c r="F10" s="17" t="n">
        <v>8</v>
      </c>
      <c r="G10" s="18" t="n">
        <f aca="false">IFERROR(1/F10*100,0)</f>
        <v>12.5</v>
      </c>
      <c r="H10" s="19" t="n">
        <f aca="false">IFERROR(E10/F10,0)</f>
        <v>1500</v>
      </c>
      <c r="I10" s="12" t="n">
        <f aca="true">IFERROR(H10*(YEAR(TODAY())-YEAR(DATEVALUE(D10))),E10)</f>
        <v>3000</v>
      </c>
      <c r="J10" s="13" t="n">
        <f aca="false">IFERROR(E10-I10,0)</f>
        <v>9000</v>
      </c>
    </row>
    <row r="11" customFormat="false" ht="21.75" hidden="false" customHeight="true" outlineLevel="0" collapsed="false">
      <c r="B11" s="6" t="s">
        <v>27</v>
      </c>
      <c r="C11" s="7" t="s">
        <v>28</v>
      </c>
      <c r="D11" s="6" t="s">
        <v>29</v>
      </c>
      <c r="E11" s="8" t="n">
        <v>300</v>
      </c>
      <c r="F11" s="9" t="n">
        <v>2</v>
      </c>
      <c r="G11" s="10" t="n">
        <f aca="false">IFERROR(1/F11*100,0)</f>
        <v>50</v>
      </c>
      <c r="H11" s="11" t="n">
        <f aca="false">IFERROR(E11/F11,0)</f>
        <v>150</v>
      </c>
      <c r="I11" s="12" t="n">
        <f aca="true">IFERROR(H11*(YEAR(TODAY())-YEAR(DATEVALUE(D11))),E11)</f>
        <v>150</v>
      </c>
      <c r="J11" s="13" t="n">
        <f aca="false">IFERROR(E11-I11,0)</f>
        <v>150</v>
      </c>
    </row>
    <row r="12" customFormat="false" ht="19.5" hidden="false" customHeight="true" outlineLevel="0" collapsed="false">
      <c r="B12" s="14"/>
      <c r="C12" s="14"/>
      <c r="D12" s="14"/>
      <c r="E12" s="16"/>
      <c r="F12" s="14"/>
      <c r="G12" s="18" t="n">
        <f aca="false">IFERROR(1/F12*100,0)</f>
        <v>0</v>
      </c>
      <c r="H12" s="19" t="n">
        <f aca="false">IFERROR(E12/F12,0)</f>
        <v>0</v>
      </c>
      <c r="I12" s="14"/>
      <c r="J12" s="13" t="n">
        <f aca="false">IFERROR(E12-I12,0)</f>
        <v>0</v>
      </c>
    </row>
    <row r="13" customFormat="false" ht="19.5" hidden="false" customHeight="true" outlineLevel="0" collapsed="false">
      <c r="B13" s="6"/>
      <c r="C13" s="6"/>
      <c r="D13" s="6"/>
      <c r="E13" s="8"/>
      <c r="F13" s="6"/>
      <c r="G13" s="10" t="n">
        <f aca="false">IFERROR(1/F13*100,0)</f>
        <v>0</v>
      </c>
      <c r="H13" s="11" t="n">
        <f aca="false">IFERROR(E13/F13,0)</f>
        <v>0</v>
      </c>
      <c r="I13" s="6"/>
      <c r="J13" s="13" t="n">
        <f aca="false">IFERROR(E13-I13,0)</f>
        <v>0</v>
      </c>
    </row>
    <row r="14" customFormat="false" ht="19.5" hidden="false" customHeight="true" outlineLevel="0" collapsed="false">
      <c r="B14" s="14"/>
      <c r="C14" s="14"/>
      <c r="D14" s="14"/>
      <c r="E14" s="16"/>
      <c r="F14" s="14"/>
      <c r="G14" s="18" t="n">
        <f aca="false">IFERROR(1/F14*100,0)</f>
        <v>0</v>
      </c>
      <c r="H14" s="19" t="n">
        <f aca="false">IFERROR(E14/F14,0)</f>
        <v>0</v>
      </c>
      <c r="I14" s="14"/>
      <c r="J14" s="13" t="n">
        <f aca="false">IFERROR(E14-I14,0)</f>
        <v>0</v>
      </c>
    </row>
    <row r="15" customFormat="false" ht="19.5" hidden="false" customHeight="true" outlineLevel="0" collapsed="false">
      <c r="B15" s="6"/>
      <c r="C15" s="6"/>
      <c r="D15" s="6"/>
      <c r="E15" s="8"/>
      <c r="F15" s="6"/>
      <c r="G15" s="10" t="n">
        <f aca="false">IFERROR(1/F15*100,0)</f>
        <v>0</v>
      </c>
      <c r="H15" s="11" t="n">
        <f aca="false">IFERROR(E15/F15,0)</f>
        <v>0</v>
      </c>
      <c r="I15" s="6"/>
      <c r="J15" s="13" t="n">
        <f aca="false">IFERROR(E15-I15,0)</f>
        <v>0</v>
      </c>
    </row>
    <row r="16" customFormat="false" ht="19.5" hidden="false" customHeight="true" outlineLevel="0" collapsed="false">
      <c r="B16" s="14"/>
      <c r="C16" s="14"/>
      <c r="D16" s="14"/>
      <c r="E16" s="16"/>
      <c r="F16" s="14"/>
      <c r="G16" s="18" t="n">
        <f aca="false">IFERROR(1/F16*100,0)</f>
        <v>0</v>
      </c>
      <c r="H16" s="19" t="n">
        <f aca="false">IFERROR(E16/F16,0)</f>
        <v>0</v>
      </c>
      <c r="I16" s="14"/>
      <c r="J16" s="13" t="n">
        <f aca="false">IFERROR(E16-I16,0)</f>
        <v>0</v>
      </c>
    </row>
    <row r="17" customFormat="false" ht="19.5" hidden="false" customHeight="true" outlineLevel="0" collapsed="false">
      <c r="B17" s="6"/>
      <c r="C17" s="6"/>
      <c r="D17" s="6"/>
      <c r="E17" s="8"/>
      <c r="F17" s="6"/>
      <c r="G17" s="10" t="n">
        <f aca="false">IFERROR(1/F17*100,0)</f>
        <v>0</v>
      </c>
      <c r="H17" s="11" t="n">
        <f aca="false">IFERROR(E17/F17,0)</f>
        <v>0</v>
      </c>
      <c r="I17" s="6"/>
      <c r="J17" s="13" t="n">
        <f aca="false">IFERROR(E17-I17,0)</f>
        <v>0</v>
      </c>
    </row>
    <row r="18" customFormat="false" ht="19.5" hidden="false" customHeight="true" outlineLevel="0" collapsed="false">
      <c r="B18" s="14"/>
      <c r="C18" s="14"/>
      <c r="D18" s="14"/>
      <c r="E18" s="16"/>
      <c r="F18" s="14"/>
      <c r="G18" s="18" t="n">
        <f aca="false">IFERROR(1/F18*100,0)</f>
        <v>0</v>
      </c>
      <c r="H18" s="19" t="n">
        <f aca="false">IFERROR(E18/F18,0)</f>
        <v>0</v>
      </c>
      <c r="I18" s="14"/>
      <c r="J18" s="13" t="n">
        <f aca="false">IFERROR(E18-I18,0)</f>
        <v>0</v>
      </c>
    </row>
    <row r="19" customFormat="false" ht="19.5" hidden="false" customHeight="true" outlineLevel="0" collapsed="false">
      <c r="B19" s="6"/>
      <c r="C19" s="6"/>
      <c r="D19" s="6"/>
      <c r="E19" s="8"/>
      <c r="F19" s="6"/>
      <c r="G19" s="10" t="n">
        <f aca="false">IFERROR(1/F19*100,0)</f>
        <v>0</v>
      </c>
      <c r="H19" s="11" t="n">
        <f aca="false">IFERROR(E19/F19,0)</f>
        <v>0</v>
      </c>
      <c r="I19" s="6"/>
      <c r="J19" s="13" t="n">
        <f aca="false">IFERROR(E19-I19,0)</f>
        <v>0</v>
      </c>
    </row>
    <row r="20" customFormat="false" ht="19.5" hidden="false" customHeight="true" outlineLevel="0" collapsed="false">
      <c r="B20" s="14"/>
      <c r="C20" s="14"/>
      <c r="D20" s="14"/>
      <c r="E20" s="16"/>
      <c r="F20" s="14"/>
      <c r="G20" s="18" t="n">
        <f aca="false">IFERROR(1/F20*100,0)</f>
        <v>0</v>
      </c>
      <c r="H20" s="19" t="n">
        <f aca="false">IFERROR(E20/F20,0)</f>
        <v>0</v>
      </c>
      <c r="I20" s="14"/>
      <c r="J20" s="13" t="n">
        <f aca="false">IFERROR(E20-I20,0)</f>
        <v>0</v>
      </c>
    </row>
    <row r="21" customFormat="false" ht="19.5" hidden="false" customHeight="true" outlineLevel="0" collapsed="false">
      <c r="B21" s="6"/>
      <c r="C21" s="6"/>
      <c r="D21" s="6"/>
      <c r="E21" s="8"/>
      <c r="F21" s="6"/>
      <c r="G21" s="10" t="n">
        <f aca="false">IFERROR(1/F21*100,0)</f>
        <v>0</v>
      </c>
      <c r="H21" s="11" t="n">
        <f aca="false">IFERROR(E21/F21,0)</f>
        <v>0</v>
      </c>
      <c r="I21" s="6"/>
      <c r="J21" s="13" t="n">
        <f aca="false">IFERROR(E21-I21,0)</f>
        <v>0</v>
      </c>
    </row>
    <row r="22" customFormat="false" ht="19.5" hidden="false" customHeight="true" outlineLevel="0" collapsed="false">
      <c r="B22" s="14"/>
      <c r="C22" s="14"/>
      <c r="D22" s="14"/>
      <c r="E22" s="16"/>
      <c r="F22" s="14"/>
      <c r="G22" s="18" t="n">
        <f aca="false">IFERROR(1/F22*100,0)</f>
        <v>0</v>
      </c>
      <c r="H22" s="19" t="n">
        <f aca="false">IFERROR(E22/F22,0)</f>
        <v>0</v>
      </c>
      <c r="I22" s="14"/>
      <c r="J22" s="13" t="n">
        <f aca="false">IFERROR(E22-I22,0)</f>
        <v>0</v>
      </c>
    </row>
    <row r="23" customFormat="false" ht="19.5" hidden="false" customHeight="true" outlineLevel="0" collapsed="false">
      <c r="B23" s="6"/>
      <c r="C23" s="6"/>
      <c r="D23" s="6"/>
      <c r="E23" s="8"/>
      <c r="F23" s="6"/>
      <c r="G23" s="10" t="n">
        <f aca="false">IFERROR(1/F23*100,0)</f>
        <v>0</v>
      </c>
      <c r="H23" s="11" t="n">
        <f aca="false">IFERROR(E23/F23,0)</f>
        <v>0</v>
      </c>
      <c r="I23" s="6"/>
      <c r="J23" s="13" t="n">
        <f aca="false">IFERROR(E23-I23,0)</f>
        <v>0</v>
      </c>
    </row>
    <row r="24" customFormat="false" ht="19.5" hidden="false" customHeight="true" outlineLevel="0" collapsed="false">
      <c r="B24" s="14"/>
      <c r="C24" s="14"/>
      <c r="D24" s="14"/>
      <c r="E24" s="16"/>
      <c r="F24" s="14"/>
      <c r="G24" s="18" t="n">
        <f aca="false">IFERROR(1/F24*100,0)</f>
        <v>0</v>
      </c>
      <c r="H24" s="19" t="n">
        <f aca="false">IFERROR(E24/F24,0)</f>
        <v>0</v>
      </c>
      <c r="I24" s="14"/>
      <c r="J24" s="13" t="n">
        <f aca="false">IFERROR(E24-I24,0)</f>
        <v>0</v>
      </c>
    </row>
    <row r="25" customFormat="false" ht="19.5" hidden="false" customHeight="true" outlineLevel="0" collapsed="false">
      <c r="B25" s="6"/>
      <c r="C25" s="6"/>
      <c r="D25" s="6"/>
      <c r="E25" s="8"/>
      <c r="F25" s="6"/>
      <c r="G25" s="10" t="n">
        <f aca="false">IFERROR(1/F25*100,0)</f>
        <v>0</v>
      </c>
      <c r="H25" s="11" t="n">
        <f aca="false">IFERROR(E25/F25,0)</f>
        <v>0</v>
      </c>
      <c r="I25" s="6"/>
      <c r="J25" s="13" t="n">
        <f aca="false">IFERROR(E25-I25,0)</f>
        <v>0</v>
      </c>
    </row>
    <row r="26" customFormat="false" ht="19.5" hidden="false" customHeight="true" outlineLevel="0" collapsed="false">
      <c r="B26" s="14"/>
      <c r="C26" s="14"/>
      <c r="D26" s="14"/>
      <c r="E26" s="16"/>
      <c r="F26" s="14"/>
      <c r="G26" s="18" t="n">
        <f aca="false">IFERROR(1/F26*100,0)</f>
        <v>0</v>
      </c>
      <c r="H26" s="19" t="n">
        <f aca="false">IFERROR(E26/F26,0)</f>
        <v>0</v>
      </c>
      <c r="I26" s="14"/>
      <c r="J26" s="13" t="n">
        <f aca="false">IFERROR(E26-I26,0)</f>
        <v>0</v>
      </c>
    </row>
    <row r="27" customFormat="false" ht="25.5" hidden="false" customHeight="true" outlineLevel="0" collapsed="false">
      <c r="B27" s="20" t="s">
        <v>30</v>
      </c>
      <c r="C27" s="21"/>
      <c r="D27" s="21"/>
      <c r="E27" s="21"/>
      <c r="F27" s="21"/>
      <c r="G27" s="21"/>
      <c r="H27" s="22" t="n">
        <f aca="false">SUM(H7:H26)</f>
        <v>5230</v>
      </c>
      <c r="I27" s="21"/>
      <c r="J27" s="21"/>
    </row>
    <row r="29" customFormat="false" ht="36" hidden="false" customHeight="true" outlineLevel="0" collapsed="false">
      <c r="A29" s="23" t="s">
        <v>31</v>
      </c>
      <c r="B29" s="23"/>
      <c r="C29" s="23"/>
      <c r="D29" s="23"/>
      <c r="E29" s="23"/>
      <c r="F29" s="23"/>
      <c r="G29" s="23"/>
      <c r="H29" s="23"/>
      <c r="I29" s="23"/>
      <c r="J29" s="23"/>
    </row>
  </sheetData>
  <mergeCells count="3">
    <mergeCell ref="A1:J1"/>
    <mergeCell ref="A2:J2"/>
    <mergeCell ref="A29:J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2026-04-28T09:23:17Z</dcterms:created>
  <dc:creator>openpyxl</dc:creator>
  <dc:description/>
  <dc:language>en-US</dc:language>
  <cp:lastModifiedBy/>
  <dcterms:modified xsi:type="dcterms:W3CDTF">2026-04-28T09:23:17Z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